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Dashboard" sheetId="1" r:id="rId1"/>
    <sheet name="Retailer Matrix" sheetId="2" r:id="rId2"/>
    <sheet name="Next Actions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<sst xmlns="http://schemas.openxmlformats.org/spreadsheetml/2006/main" count="385" uniqueCount="195">
  <si>
    <t>Uncluttrd Retail Commerce Dashboard</t>
  </si>
  <si>
    <t>Metric</t>
  </si>
  <si>
    <t>Value</t>
  </si>
  <si>
    <t>Immediate Priority</t>
  </si>
  <si>
    <t>Why</t>
  </si>
  <si>
    <t>Next Move</t>
  </si>
  <si>
    <t>Total Retailers</t>
  </si>
  <si>
    <t>Walmart</t>
  </si>
  <si>
    <t>Broad budget coverage</t>
  </si>
  <si>
    <t>Apply / confirm direct route</t>
  </si>
  <si>
    <t>Tier 1 Retailers</t>
  </si>
  <si>
    <t>Home Depot</t>
  </si>
  <si>
    <t>Garage backbone</t>
  </si>
  <si>
    <t>Apply / document link tools</t>
  </si>
  <si>
    <t>Applied / Pending / Approved / Live</t>
  </si>
  <si>
    <t>Lowe's</t>
  </si>
  <si>
    <t>Garage + DIY alternative</t>
  </si>
  <si>
    <t>Apply / check creator route</t>
  </si>
  <si>
    <t>Live Retailers</t>
  </si>
  <si>
    <t>Target</t>
  </si>
  <si>
    <t>Decorative storage</t>
  </si>
  <si>
    <t>Apply / confirm current program path</t>
  </si>
  <si>
    <t>Declined Retailers</t>
  </si>
  <si>
    <t>Operating Rule</t>
  </si>
  <si>
    <t>Build direct retailer relationships first. Use affiliate networks where they help. Never let one network become a dependency.</t>
  </si>
  <si>
    <t>Retailer</t>
  </si>
  <si>
    <t>Priority</t>
  </si>
  <si>
    <t>Commerce Profile</t>
  </si>
  <si>
    <t>Best For</t>
  </si>
  <si>
    <t>Status</t>
  </si>
  <si>
    <t>Affiliate Method</t>
  </si>
  <si>
    <t>Network/Route</t>
  </si>
  <si>
    <t>Signup URL</t>
  </si>
  <si>
    <t>Login Portal</t>
  </si>
  <si>
    <t>API Available</t>
  </si>
  <si>
    <t>Deep Linking</t>
  </si>
  <si>
    <t>Commission</t>
  </si>
  <si>
    <t>Cookie</t>
  </si>
  <si>
    <t>Product Coverage</t>
  </si>
  <si>
    <t>Best Categories</t>
  </si>
  <si>
    <t>Contact</t>
  </si>
  <si>
    <t>Last Checked</t>
  </si>
  <si>
    <t>Notes</t>
  </si>
  <si>
    <t>Tier 1</t>
  </si>
  <si>
    <t>Budget Value Leader</t>
  </si>
  <si>
    <t>Budget bins, carts, shelving, household storage</t>
  </si>
  <si>
    <t>Researching</t>
  </si>
  <si>
    <t>Direct / Creator / Impact brand link</t>
  </si>
  <si>
    <t>Walmart Affiliate / Walmart Creator</t>
  </si>
  <si>
    <t>https://affiliates.walmart.com/</t>
  </si>
  <si>
    <t>TBD</t>
  </si>
  <si>
    <t>Unknown</t>
  </si>
  <si>
    <t>Garage, Closet, Kitchen, Bedroom, Home Office</t>
  </si>
  <si>
    <t>2026-06-29</t>
  </si>
  <si>
    <t>Start here. Broadest budget and mid-range coverage.</t>
  </si>
  <si>
    <t>Garage &amp; Workshop Leader</t>
  </si>
  <si>
    <t>Garage shelving, pegboards, hooks, utility storage</t>
  </si>
  <si>
    <t>Direct / Network</t>
  </si>
  <si>
    <t>Home Depot Affiliate Program</t>
  </si>
  <si>
    <t>https://www.homedepot.com/c/SF_MS_The_Home_Depot_Affiliate_Program</t>
  </si>
  <si>
    <t>Garage, Basement, Utility, Outdoor</t>
  </si>
  <si>
    <t>Critical for garage recommendations.</t>
  </si>
  <si>
    <t>DIY &amp; Home Improvement Leader</t>
  </si>
  <si>
    <t>Garage, basement, utility, home improvement storage</t>
  </si>
  <si>
    <t>Creator / Network / Aggregator</t>
  </si>
  <si>
    <t>Lowe's Creator / possible network routes</t>
  </si>
  <si>
    <t>https://www.lowes.com/l/creator/joinlowescreator</t>
  </si>
  <si>
    <t>Garage, Basement, Utility, Home Improvement</t>
  </si>
  <si>
    <t>Pursue in parallel with Home Depot; user choice matters.</t>
  </si>
  <si>
    <t>Decorative Storage Leader</t>
  </si>
  <si>
    <t>Closet, bedroom, pantry, home office, attractive storage</t>
  </si>
  <si>
    <t>Direct / Partner / Creator</t>
  </si>
  <si>
    <t>Target Partners</t>
  </si>
  <si>
    <t>https://partners.target.com/</t>
  </si>
  <si>
    <t>Closet, Bedroom, Kitchen, Home Office, Living Room</t>
  </si>
  <si>
    <t>Strong for prettier organization recommendations.</t>
  </si>
  <si>
    <t>The Container Store</t>
  </si>
  <si>
    <t>Tier 2</t>
  </si>
  <si>
    <t>Premium Organization Specialist</t>
  </si>
  <si>
    <t>Closet systems, bins, drawers, Elfa</t>
  </si>
  <si>
    <t>Not Started</t>
  </si>
  <si>
    <t>https://www.containerstore.com/</t>
  </si>
  <si>
    <t>Closet, Kitchen, Bedroom, Home Office</t>
  </si>
  <si>
    <t>High fit but likely better after app has proof/traffic.</t>
  </si>
  <si>
    <t>IKEA</t>
  </si>
  <si>
    <t>Space-Saving Furniture Leader</t>
  </si>
  <si>
    <t>Small-space furniture, modular storage</t>
  </si>
  <si>
    <t>Alternative / Direct partnership</t>
  </si>
  <si>
    <t>https://www.ikea.com/us/en/</t>
  </si>
  <si>
    <t>Limited/Unknown</t>
  </si>
  <si>
    <t>Living Room, Bedroom, Home Office, Closet</t>
  </si>
  <si>
    <t>Great product fit; affiliate access may be limited.</t>
  </si>
  <si>
    <t>Best Buy</t>
  </si>
  <si>
    <t>Tech &amp; Cable Management</t>
  </si>
  <si>
    <t>Office tech, smart home, cable management</t>
  </si>
  <si>
    <t>https://www.bestbuy.com/</t>
  </si>
  <si>
    <t>Home Office, Living Room, Garage</t>
  </si>
  <si>
    <t>Useful for smart home and cable cleanup.</t>
  </si>
  <si>
    <t>Office Depot</t>
  </si>
  <si>
    <t>Home Office Utility</t>
  </si>
  <si>
    <t>Filing, office storage, desk organization</t>
  </si>
  <si>
    <t>https://www.officedepot.com/</t>
  </si>
  <si>
    <t>Home Office</t>
  </si>
  <si>
    <t>Good for documents, filing, and office supplies.</t>
  </si>
  <si>
    <t>Staples</t>
  </si>
  <si>
    <t>Office supplies, file storage, desk setup</t>
  </si>
  <si>
    <t>https://www.staples.com/</t>
  </si>
  <si>
    <t>Useful after Home Office category grows.</t>
  </si>
  <si>
    <t>Ace Hardware</t>
  </si>
  <si>
    <t>Tier 3</t>
  </si>
  <si>
    <t>Local Hardware Convenience</t>
  </si>
  <si>
    <t>Hooks, tools, small hardware</t>
  </si>
  <si>
    <t>https://www.acehardware.com/</t>
  </si>
  <si>
    <t>Garage, Utility, Outdoor</t>
  </si>
  <si>
    <t>Good local option; not first priority.</t>
  </si>
  <si>
    <t>Tractor Supply</t>
  </si>
  <si>
    <t>Utility &amp; Outdoor Storage</t>
  </si>
  <si>
    <t>Outdoor, shed, garage, utility storage</t>
  </si>
  <si>
    <t>https://www.tractorsupply.com/</t>
  </si>
  <si>
    <t>Garage, Outdoor, Utility</t>
  </si>
  <si>
    <t>Potential fit for utility and rural storage.</t>
  </si>
  <si>
    <t>Menards</t>
  </si>
  <si>
    <t>Midwest DIY Value</t>
  </si>
  <si>
    <t>Garage, shelving, home improvement</t>
  </si>
  <si>
    <t>https://www.menards.com/</t>
  </si>
  <si>
    <t>Garage, Basement, Utility</t>
  </si>
  <si>
    <t>Geographic strength; useful for Midwest users.</t>
  </si>
  <si>
    <t>Costco</t>
  </si>
  <si>
    <t>Bulk Value</t>
  </si>
  <si>
    <t>Bulk bins, shelving, garage storage</t>
  </si>
  <si>
    <t>Limited / TBD</t>
  </si>
  <si>
    <t>https://www.costco.com/</t>
  </si>
  <si>
    <t>Garage, Kitchen, Utility</t>
  </si>
  <si>
    <t>May be limited affiliate-wise; good value perception.</t>
  </si>
  <si>
    <t>Wayfair</t>
  </si>
  <si>
    <t>Home Decor &amp; Furniture</t>
  </si>
  <si>
    <t>Decorative storage, furniture, premium home items</t>
  </si>
  <si>
    <t>https://www.wayfair.com/</t>
  </si>
  <si>
    <t>Living Room, Bedroom, Home Office</t>
  </si>
  <si>
    <t>Good for premium/lifestyle, but not core launch dependency.</t>
  </si>
  <si>
    <t>Amazon</t>
  </si>
  <si>
    <t>Fallback</t>
  </si>
  <si>
    <t>Fallback Marketplace</t>
  </si>
  <si>
    <t>Hard-to-find items and coverage gaps</t>
  </si>
  <si>
    <t>Amazon Associates</t>
  </si>
  <si>
    <t>Direct</t>
  </si>
  <si>
    <t>https://affiliate-program.amazon.com/</t>
  </si>
  <si>
    <t>Yes</t>
  </si>
  <si>
    <t>All categories</t>
  </si>
  <si>
    <t>Fallback only. Do not make this the face of Uncluttrd.</t>
  </si>
  <si>
    <t>Action</t>
  </si>
  <si>
    <t>Owner</t>
  </si>
  <si>
    <t>Due Date</t>
  </si>
  <si>
    <t>1</t>
  </si>
  <si>
    <t>Apply/confirm Walmart route</t>
  </si>
  <si>
    <t>Michael</t>
  </si>
  <si>
    <t/>
  </si>
  <si>
    <t>Use official affiliate/creator routes. Document login and deep link process.</t>
  </si>
  <si>
    <t>2</t>
  </si>
  <si>
    <t>Apply to Home Depot program</t>
  </si>
  <si>
    <t>Capture portal, approval status, commission, and product link process.</t>
  </si>
  <si>
    <t>3</t>
  </si>
  <si>
    <t>Apply/check Lowe's Creator route</t>
  </si>
  <si>
    <t>Creator path may be easier than classic affiliate network access.</t>
  </si>
  <si>
    <t>4</t>
  </si>
  <si>
    <t>Apply/check Target Partners route</t>
  </si>
  <si>
    <t>Verify current 2026 program route before building links.</t>
  </si>
  <si>
    <t>5</t>
  </si>
  <si>
    <t>Update Commerce.md network language</t>
  </si>
  <si>
    <t>Replace 'Apply to CJ/Impact first' with network-agnostic direct retailer strategy.</t>
  </si>
  <si>
    <t>6</t>
  </si>
  <si>
    <t>Build Commerce Service placeholder schema</t>
  </si>
  <si>
    <t>Developer</t>
  </si>
  <si>
    <t>Use retailer registry data; app should request links server-side.</t>
  </si>
  <si>
    <t>API/Deep Link</t>
  </si>
  <si>
    <t>Network</t>
  </si>
  <si>
    <t>Impact</t>
  </si>
  <si>
    <t>No</t>
  </si>
  <si>
    <t>Applied</t>
  </si>
  <si>
    <t>Creator Program</t>
  </si>
  <si>
    <t>CJ</t>
  </si>
  <si>
    <t>Limited</t>
  </si>
  <si>
    <t>Pending</t>
  </si>
  <si>
    <t>Brand Invite</t>
  </si>
  <si>
    <t>Awin</t>
  </si>
  <si>
    <t>Approved</t>
  </si>
  <si>
    <t>Aggregator</t>
  </si>
  <si>
    <t>Rakuten</t>
  </si>
  <si>
    <t>Declined</t>
  </si>
  <si>
    <t>None</t>
  </si>
  <si>
    <t>FlexOffers</t>
  </si>
  <si>
    <t>Live</t>
  </si>
  <si>
    <t>Sovrn</t>
  </si>
  <si>
    <t>Paused</t>
  </si>
  <si>
    <t>Walmart Affiliate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</si>
</sst>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8"/>
      <color rgb="FFFFFFFF"/>
      <name val="Carlito"/>
      <charset val="134"/>
    </font>
    <font>
      <b/>
      <sz val="11"/>
      <name val="Carlito"/>
      <charset val="134"/>
    </font>
    <font>
      <i/>
      <sz val="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E9E52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178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/>
    </xf>
    <xf numFmtId="178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/>
    <xf numFmtId="0" fontId="1" fillId="4" borderId="0" xfId="0" applyNumberFormat="1" applyFont="1" applyFill="1" applyBorder="1"/>
    <xf numFmtId="0" fontId="4" fillId="5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4532D"/>
      </font>
      <fill>
        <patternFill patternType="solid">
          <bgColor rgb="FFBBF7D0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E40AF"/>
      </font>
      <fill>
        <patternFill patternType="solid">
          <bgColor rgb="FFDBEA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tailerMatrix" displayName="RetailerMatrix" ref="A1:R16">
  <tableColumns count="18">
    <tableColumn id="1" name="Retailer"/>
    <tableColumn id="2" name="Priority"/>
    <tableColumn id="3" name="Commerce Profile"/>
    <tableColumn id="4" name="Best For"/>
    <tableColumn id="5" name="Status"/>
    <tableColumn id="6" name="Affiliate Method"/>
    <tableColumn id="7" name="Network/Route"/>
    <tableColumn id="8" name="Signup URL"/>
    <tableColumn id="9" name="Login Portal"/>
    <tableColumn id="10" name="API Available"/>
    <tableColumn id="11" name="Deep Linking"/>
    <tableColumn id="12" name="Commission"/>
    <tableColumn id="13" name="Cookie"/>
    <tableColumn id="14" name="Product Coverage"/>
    <tableColumn id="15" name="Best Categories"/>
    <tableColumn id="16" name="Contact"/>
    <tableColumn id="17" name="Last Checked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xtActions" displayName="NextActions" ref="A1:F7">
  <tableColumns count="6">
    <tableColumn id="1" name="Priority"/>
    <tableColumn id="2" name="Action"/>
    <tableColumn id="3" name="Owner"/>
    <tableColumn id="4" name="Due Date"/>
    <tableColumn id="5" name="Status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1" sqref="A1:H1"/>
    </sheetView>
  </sheetViews>
  <sheetFormatPr defaultColWidth="9" defaultRowHeight="14" outlineLevelCol="7"/>
  <cols>
    <col min="1" max="3" width="18" customWidth="1"/>
    <col min="4" max="4" width="20" customWidth="1"/>
    <col min="5" max="5" width="32" customWidth="1"/>
    <col min="6" max="6" width="28" customWidth="1"/>
    <col min="7" max="8" width="18" customWidth="1"/>
  </cols>
  <sheetData>
    <row r="1" ht="30" customHeight="1" spans="1:6">
      <c r="A1" s="9" t="s">
        <v>0</v>
      </c>
    </row>
    <row r="3" spans="1:6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</row>
    <row r="4" spans="1:6">
      <c r="A4" s="10" t="s">
        <v>6</v>
      </c>
      <c r="B4" s="7">
        <f>COUNTA('Retailer Matrix'!A2:A200)</f>
        <v>15</v>
      </c>
      <c r="D4" s="2" t="s">
        <v>7</v>
      </c>
      <c r="E4" s="2" t="s">
        <v>8</v>
      </c>
      <c r="F4" s="2" t="s">
        <v>9</v>
      </c>
    </row>
    <row r="5" spans="1:6">
      <c r="A5" s="10" t="s">
        <v>10</v>
      </c>
      <c r="B5" s="7">
        <f>COUNTIF('Retailer Matrix'!B2:B200,"Tier 1")</f>
        <v>4</v>
      </c>
      <c r="D5" s="2" t="s">
        <v>11</v>
      </c>
      <c r="E5" s="2" t="s">
        <v>12</v>
      </c>
      <c r="F5" s="2" t="s">
        <v>13</v>
      </c>
    </row>
    <row r="6" spans="1:6">
      <c r="A6" s="10" t="s">
        <v>14</v>
      </c>
      <c r="B6" s="7">
        <f>COUNTIF('Retailer Matrix'!E2:E200,"Applied")+COUNTIF('Retailer Matrix'!E2:E200,"Pending")+COUNTIF('Retailer Matrix'!E2:E200,"Approved")+COUNTIF('Retailer Matrix'!E2:E200,"Live")</f>
        <v>0</v>
      </c>
      <c r="D6" s="2" t="s">
        <v>15</v>
      </c>
      <c r="E6" s="2" t="s">
        <v>16</v>
      </c>
      <c r="F6" s="2" t="s">
        <v>17</v>
      </c>
    </row>
    <row r="7" ht="28" spans="1:6">
      <c r="A7" s="10" t="s">
        <v>18</v>
      </c>
      <c r="B7" s="7">
        <f>COUNTIF('Retailer Matrix'!E2:E200,"Live")</f>
        <v>0</v>
      </c>
      <c r="D7" s="2" t="s">
        <v>19</v>
      </c>
      <c r="E7" s="2" t="s">
        <v>20</v>
      </c>
      <c r="F7" s="2" t="s">
        <v>21</v>
      </c>
    </row>
    <row r="8" spans="1:6">
      <c r="A8" s="10" t="s">
        <v>22</v>
      </c>
      <c r="B8" s="7">
        <f>COUNTIF('Retailer Matrix'!E2:E200,"Declined")</f>
        <v>0</v>
      </c>
    </row>
    <row r="10" spans="1:6">
      <c r="A10" s="11" t="s">
        <v>23</v>
      </c>
    </row>
    <row r="11" spans="1:6">
      <c r="A11" s="12" t="s">
        <v>24</v>
      </c>
    </row>
  </sheetData>
  <mergeCells count="3">
    <mergeCell ref="A1:H1"/>
    <mergeCell ref="A10:F10"/>
    <mergeCell ref="A11:F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"/>
  <sheetViews>
    <sheetView workbookViewId="0">
      <selection activeCell="A1" sqref="A1"/>
    </sheetView>
  </sheetViews>
  <sheetFormatPr defaultColWidth="9" defaultRowHeight="14"/>
  <cols>
    <col min="1" max="1" width="18" customWidth="1"/>
    <col min="2" max="2" width="12" customWidth="1"/>
    <col min="3" max="3" width="25" customWidth="1"/>
    <col min="4" max="4" width="34" customWidth="1"/>
    <col min="5" max="5" width="14" customWidth="1"/>
    <col min="6" max="6" width="22" customWidth="1"/>
    <col min="7" max="7" width="24" customWidth="1"/>
    <col min="8" max="8" width="38" customWidth="1"/>
    <col min="9" max="9" width="18" customWidth="1"/>
    <col min="10" max="11" width="13" customWidth="1"/>
    <col min="12" max="12" width="12" customWidth="1"/>
    <col min="13" max="13" width="10" customWidth="1"/>
    <col min="14" max="14" width="14" customWidth="1"/>
    <col min="15" max="15" width="35" customWidth="1"/>
    <col min="16" max="16" width="18" customWidth="1"/>
    <col min="17" max="17" width="13" customWidth="1"/>
    <col min="18" max="18" width="44" customWidth="1"/>
  </cols>
  <sheetData>
    <row r="1" ht="28" spans="1:18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</row>
    <row r="2" ht="28" spans="1:18">
      <c r="A2" s="4" t="s">
        <v>7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51</v>
      </c>
      <c r="L2" s="4" t="s">
        <v>50</v>
      </c>
      <c r="M2" s="4" t="s">
        <v>50</v>
      </c>
      <c r="N2" s="5">
        <v>5</v>
      </c>
      <c r="O2" s="4" t="s">
        <v>52</v>
      </c>
      <c r="P2" s="4" t="s">
        <v>50</v>
      </c>
      <c r="Q2" s="6" t="s">
        <v>53</v>
      </c>
      <c r="R2" s="4" t="s">
        <v>54</v>
      </c>
    </row>
    <row r="3" ht="28" spans="1:18">
      <c r="A3" s="4" t="s">
        <v>11</v>
      </c>
      <c r="B3" s="4" t="s">
        <v>43</v>
      </c>
      <c r="C3" s="4" t="s">
        <v>55</v>
      </c>
      <c r="D3" s="4" t="s">
        <v>56</v>
      </c>
      <c r="E3" s="4" t="s">
        <v>46</v>
      </c>
      <c r="F3" s="4" t="s">
        <v>57</v>
      </c>
      <c r="G3" s="4" t="s">
        <v>58</v>
      </c>
      <c r="H3" s="4" t="s">
        <v>59</v>
      </c>
      <c r="I3" s="4" t="s">
        <v>50</v>
      </c>
      <c r="J3" s="4" t="s">
        <v>51</v>
      </c>
      <c r="K3" s="4" t="s">
        <v>51</v>
      </c>
      <c r="L3" s="4" t="s">
        <v>50</v>
      </c>
      <c r="M3" s="4" t="s">
        <v>50</v>
      </c>
      <c r="N3" s="5">
        <v>5</v>
      </c>
      <c r="O3" s="4" t="s">
        <v>60</v>
      </c>
      <c r="P3" s="4" t="s">
        <v>50</v>
      </c>
      <c r="Q3" s="6" t="s">
        <v>53</v>
      </c>
      <c r="R3" s="4" t="s">
        <v>61</v>
      </c>
    </row>
    <row r="4" ht="28" spans="1:18">
      <c r="A4" s="4" t="s">
        <v>15</v>
      </c>
      <c r="B4" s="4" t="s">
        <v>43</v>
      </c>
      <c r="C4" s="4" t="s">
        <v>62</v>
      </c>
      <c r="D4" s="4" t="s">
        <v>63</v>
      </c>
      <c r="E4" s="4" t="s">
        <v>46</v>
      </c>
      <c r="F4" s="4" t="s">
        <v>64</v>
      </c>
      <c r="G4" s="4" t="s">
        <v>65</v>
      </c>
      <c r="H4" s="4" t="s">
        <v>66</v>
      </c>
      <c r="I4" s="4" t="s">
        <v>50</v>
      </c>
      <c r="J4" s="4" t="s">
        <v>51</v>
      </c>
      <c r="K4" s="4" t="s">
        <v>51</v>
      </c>
      <c r="L4" s="4" t="s">
        <v>50</v>
      </c>
      <c r="M4" s="4" t="s">
        <v>50</v>
      </c>
      <c r="N4" s="5">
        <v>5</v>
      </c>
      <c r="O4" s="4" t="s">
        <v>67</v>
      </c>
      <c r="P4" s="4" t="s">
        <v>50</v>
      </c>
      <c r="Q4" s="6" t="s">
        <v>53</v>
      </c>
      <c r="R4" s="4" t="s">
        <v>68</v>
      </c>
    </row>
    <row r="5" ht="28" spans="1:18">
      <c r="A5" s="4" t="s">
        <v>19</v>
      </c>
      <c r="B5" s="4" t="s">
        <v>43</v>
      </c>
      <c r="C5" s="4" t="s">
        <v>69</v>
      </c>
      <c r="D5" s="4" t="s">
        <v>70</v>
      </c>
      <c r="E5" s="4" t="s">
        <v>46</v>
      </c>
      <c r="F5" s="4" t="s">
        <v>71</v>
      </c>
      <c r="G5" s="4" t="s">
        <v>72</v>
      </c>
      <c r="H5" s="4" t="s">
        <v>73</v>
      </c>
      <c r="I5" s="4" t="s">
        <v>50</v>
      </c>
      <c r="J5" s="4" t="s">
        <v>51</v>
      </c>
      <c r="K5" s="4" t="s">
        <v>51</v>
      </c>
      <c r="L5" s="4" t="s">
        <v>50</v>
      </c>
      <c r="M5" s="4" t="s">
        <v>50</v>
      </c>
      <c r="N5" s="5">
        <v>4</v>
      </c>
      <c r="O5" s="4" t="s">
        <v>74</v>
      </c>
      <c r="P5" s="4" t="s">
        <v>50</v>
      </c>
      <c r="Q5" s="6" t="s">
        <v>53</v>
      </c>
      <c r="R5" s="4" t="s">
        <v>75</v>
      </c>
    </row>
    <row r="6" ht="28" spans="1:18">
      <c r="A6" s="4" t="s">
        <v>76</v>
      </c>
      <c r="B6" s="4" t="s">
        <v>77</v>
      </c>
      <c r="C6" s="4" t="s">
        <v>78</v>
      </c>
      <c r="D6" s="4" t="s">
        <v>79</v>
      </c>
      <c r="E6" s="4" t="s">
        <v>80</v>
      </c>
      <c r="F6" s="4" t="s">
        <v>57</v>
      </c>
      <c r="G6" s="4" t="s">
        <v>50</v>
      </c>
      <c r="H6" s="4" t="s">
        <v>81</v>
      </c>
      <c r="I6" s="4" t="s">
        <v>50</v>
      </c>
      <c r="J6" s="4" t="s">
        <v>51</v>
      </c>
      <c r="K6" s="4" t="s">
        <v>51</v>
      </c>
      <c r="L6" s="4" t="s">
        <v>50</v>
      </c>
      <c r="M6" s="4" t="s">
        <v>50</v>
      </c>
      <c r="N6" s="5">
        <v>5</v>
      </c>
      <c r="O6" s="4" t="s">
        <v>82</v>
      </c>
      <c r="P6" s="4" t="s">
        <v>50</v>
      </c>
      <c r="Q6" s="6" t="s">
        <v>53</v>
      </c>
      <c r="R6" s="4" t="s">
        <v>83</v>
      </c>
    </row>
    <row r="7" ht="28" spans="1:18">
      <c r="A7" s="4" t="s">
        <v>84</v>
      </c>
      <c r="B7" s="4" t="s">
        <v>77</v>
      </c>
      <c r="C7" s="4" t="s">
        <v>85</v>
      </c>
      <c r="D7" s="4" t="s">
        <v>86</v>
      </c>
      <c r="E7" s="4" t="s">
        <v>80</v>
      </c>
      <c r="F7" s="4" t="s">
        <v>87</v>
      </c>
      <c r="G7" s="4" t="s">
        <v>50</v>
      </c>
      <c r="H7" s="4" t="s">
        <v>88</v>
      </c>
      <c r="I7" s="4" t="s">
        <v>50</v>
      </c>
      <c r="J7" s="4" t="s">
        <v>89</v>
      </c>
      <c r="K7" s="4" t="s">
        <v>51</v>
      </c>
      <c r="L7" s="4" t="s">
        <v>50</v>
      </c>
      <c r="M7" s="4" t="s">
        <v>50</v>
      </c>
      <c r="N7" s="5">
        <v>4</v>
      </c>
      <c r="O7" s="4" t="s">
        <v>90</v>
      </c>
      <c r="P7" s="4" t="s">
        <v>50</v>
      </c>
      <c r="Q7" s="6" t="s">
        <v>53</v>
      </c>
      <c r="R7" s="4" t="s">
        <v>91</v>
      </c>
    </row>
    <row r="8" ht="28" spans="1:18">
      <c r="A8" s="4" t="s">
        <v>92</v>
      </c>
      <c r="B8" s="4" t="s">
        <v>77</v>
      </c>
      <c r="C8" s="4" t="s">
        <v>93</v>
      </c>
      <c r="D8" s="4" t="s">
        <v>94</v>
      </c>
      <c r="E8" s="4" t="s">
        <v>80</v>
      </c>
      <c r="F8" s="4" t="s">
        <v>57</v>
      </c>
      <c r="G8" s="4" t="s">
        <v>50</v>
      </c>
      <c r="H8" s="4" t="s">
        <v>95</v>
      </c>
      <c r="I8" s="4" t="s">
        <v>50</v>
      </c>
      <c r="J8" s="4" t="s">
        <v>51</v>
      </c>
      <c r="K8" s="4" t="s">
        <v>51</v>
      </c>
      <c r="L8" s="4" t="s">
        <v>50</v>
      </c>
      <c r="M8" s="4" t="s">
        <v>50</v>
      </c>
      <c r="N8" s="5">
        <v>3</v>
      </c>
      <c r="O8" s="4" t="s">
        <v>96</v>
      </c>
      <c r="P8" s="4" t="s">
        <v>50</v>
      </c>
      <c r="Q8" s="6" t="s">
        <v>53</v>
      </c>
      <c r="R8" s="4" t="s">
        <v>97</v>
      </c>
    </row>
    <row r="9" spans="1:18">
      <c r="A9" s="4" t="s">
        <v>98</v>
      </c>
      <c r="B9" s="4" t="s">
        <v>77</v>
      </c>
      <c r="C9" s="4" t="s">
        <v>99</v>
      </c>
      <c r="D9" s="4" t="s">
        <v>100</v>
      </c>
      <c r="E9" s="4" t="s">
        <v>80</v>
      </c>
      <c r="F9" s="4" t="s">
        <v>57</v>
      </c>
      <c r="G9" s="4" t="s">
        <v>50</v>
      </c>
      <c r="H9" s="4" t="s">
        <v>101</v>
      </c>
      <c r="I9" s="4" t="s">
        <v>50</v>
      </c>
      <c r="J9" s="4" t="s">
        <v>51</v>
      </c>
      <c r="K9" s="4" t="s">
        <v>51</v>
      </c>
      <c r="L9" s="4" t="s">
        <v>50</v>
      </c>
      <c r="M9" s="4" t="s">
        <v>50</v>
      </c>
      <c r="N9" s="5">
        <v>3</v>
      </c>
      <c r="O9" s="4" t="s">
        <v>102</v>
      </c>
      <c r="P9" s="4" t="s">
        <v>50</v>
      </c>
      <c r="Q9" s="6" t="s">
        <v>53</v>
      </c>
      <c r="R9" s="4" t="s">
        <v>103</v>
      </c>
    </row>
    <row r="10" spans="1:18">
      <c r="A10" s="4" t="s">
        <v>104</v>
      </c>
      <c r="B10" s="4" t="s">
        <v>77</v>
      </c>
      <c r="C10" s="4" t="s">
        <v>99</v>
      </c>
      <c r="D10" s="4" t="s">
        <v>105</v>
      </c>
      <c r="E10" s="4" t="s">
        <v>80</v>
      </c>
      <c r="F10" s="4" t="s">
        <v>57</v>
      </c>
      <c r="G10" s="4" t="s">
        <v>50</v>
      </c>
      <c r="H10" s="4" t="s">
        <v>106</v>
      </c>
      <c r="I10" s="4" t="s">
        <v>50</v>
      </c>
      <c r="J10" s="4" t="s">
        <v>51</v>
      </c>
      <c r="K10" s="4" t="s">
        <v>51</v>
      </c>
      <c r="L10" s="4" t="s">
        <v>50</v>
      </c>
      <c r="M10" s="4" t="s">
        <v>50</v>
      </c>
      <c r="N10" s="5">
        <v>3</v>
      </c>
      <c r="O10" s="4" t="s">
        <v>102</v>
      </c>
      <c r="P10" s="4" t="s">
        <v>50</v>
      </c>
      <c r="Q10" s="6" t="s">
        <v>53</v>
      </c>
      <c r="R10" s="4" t="s">
        <v>107</v>
      </c>
    </row>
    <row r="11" spans="1:18">
      <c r="A11" s="4" t="s">
        <v>108</v>
      </c>
      <c r="B11" s="4" t="s">
        <v>109</v>
      </c>
      <c r="C11" s="4" t="s">
        <v>110</v>
      </c>
      <c r="D11" s="4" t="s">
        <v>111</v>
      </c>
      <c r="E11" s="4" t="s">
        <v>80</v>
      </c>
      <c r="F11" s="4" t="s">
        <v>57</v>
      </c>
      <c r="G11" s="4" t="s">
        <v>50</v>
      </c>
      <c r="H11" s="4" t="s">
        <v>112</v>
      </c>
      <c r="I11" s="4" t="s">
        <v>50</v>
      </c>
      <c r="J11" s="4" t="s">
        <v>51</v>
      </c>
      <c r="K11" s="4" t="s">
        <v>51</v>
      </c>
      <c r="L11" s="4" t="s">
        <v>50</v>
      </c>
      <c r="M11" s="4" t="s">
        <v>50</v>
      </c>
      <c r="N11" s="5">
        <v>3</v>
      </c>
      <c r="O11" s="4" t="s">
        <v>113</v>
      </c>
      <c r="P11" s="4" t="s">
        <v>50</v>
      </c>
      <c r="Q11" s="6" t="s">
        <v>53</v>
      </c>
      <c r="R11" s="4" t="s">
        <v>114</v>
      </c>
    </row>
    <row r="12" spans="1:18">
      <c r="A12" s="4" t="s">
        <v>115</v>
      </c>
      <c r="B12" s="4" t="s">
        <v>109</v>
      </c>
      <c r="C12" s="4" t="s">
        <v>116</v>
      </c>
      <c r="D12" s="4" t="s">
        <v>117</v>
      </c>
      <c r="E12" s="4" t="s">
        <v>80</v>
      </c>
      <c r="F12" s="4" t="s">
        <v>57</v>
      </c>
      <c r="G12" s="4" t="s">
        <v>50</v>
      </c>
      <c r="H12" s="4" t="s">
        <v>118</v>
      </c>
      <c r="I12" s="4" t="s">
        <v>50</v>
      </c>
      <c r="J12" s="4" t="s">
        <v>51</v>
      </c>
      <c r="K12" s="4" t="s">
        <v>51</v>
      </c>
      <c r="L12" s="4" t="s">
        <v>50</v>
      </c>
      <c r="M12" s="4" t="s">
        <v>50</v>
      </c>
      <c r="N12" s="5">
        <v>3</v>
      </c>
      <c r="O12" s="4" t="s">
        <v>119</v>
      </c>
      <c r="P12" s="4" t="s">
        <v>50</v>
      </c>
      <c r="Q12" s="6" t="s">
        <v>53</v>
      </c>
      <c r="R12" s="4" t="s">
        <v>120</v>
      </c>
    </row>
    <row r="13" spans="1:18">
      <c r="A13" s="4" t="s">
        <v>121</v>
      </c>
      <c r="B13" s="4" t="s">
        <v>109</v>
      </c>
      <c r="C13" s="4" t="s">
        <v>122</v>
      </c>
      <c r="D13" s="4" t="s">
        <v>123</v>
      </c>
      <c r="E13" s="4" t="s">
        <v>80</v>
      </c>
      <c r="F13" s="4" t="s">
        <v>57</v>
      </c>
      <c r="G13" s="4" t="s">
        <v>50</v>
      </c>
      <c r="H13" s="4" t="s">
        <v>124</v>
      </c>
      <c r="I13" s="4" t="s">
        <v>50</v>
      </c>
      <c r="J13" s="4" t="s">
        <v>51</v>
      </c>
      <c r="K13" s="4" t="s">
        <v>51</v>
      </c>
      <c r="L13" s="4" t="s">
        <v>50</v>
      </c>
      <c r="M13" s="4" t="s">
        <v>50</v>
      </c>
      <c r="N13" s="5">
        <v>3</v>
      </c>
      <c r="O13" s="4" t="s">
        <v>125</v>
      </c>
      <c r="P13" s="4" t="s">
        <v>50</v>
      </c>
      <c r="Q13" s="6" t="s">
        <v>53</v>
      </c>
      <c r="R13" s="4" t="s">
        <v>126</v>
      </c>
    </row>
    <row r="14" spans="1:18">
      <c r="A14" s="4" t="s">
        <v>127</v>
      </c>
      <c r="B14" s="4" t="s">
        <v>109</v>
      </c>
      <c r="C14" s="4" t="s">
        <v>128</v>
      </c>
      <c r="D14" s="4" t="s">
        <v>129</v>
      </c>
      <c r="E14" s="4" t="s">
        <v>80</v>
      </c>
      <c r="F14" s="4" t="s">
        <v>130</v>
      </c>
      <c r="G14" s="4" t="s">
        <v>50</v>
      </c>
      <c r="H14" s="4" t="s">
        <v>131</v>
      </c>
      <c r="I14" s="4" t="s">
        <v>50</v>
      </c>
      <c r="J14" s="4" t="s">
        <v>51</v>
      </c>
      <c r="K14" s="4" t="s">
        <v>51</v>
      </c>
      <c r="L14" s="4" t="s">
        <v>50</v>
      </c>
      <c r="M14" s="4" t="s">
        <v>50</v>
      </c>
      <c r="N14" s="5">
        <v>3</v>
      </c>
      <c r="O14" s="4" t="s">
        <v>132</v>
      </c>
      <c r="P14" s="4" t="s">
        <v>50</v>
      </c>
      <c r="Q14" s="6" t="s">
        <v>53</v>
      </c>
      <c r="R14" s="4" t="s">
        <v>133</v>
      </c>
    </row>
    <row r="15" ht="28" spans="1:18">
      <c r="A15" s="4" t="s">
        <v>134</v>
      </c>
      <c r="B15" s="4" t="s">
        <v>109</v>
      </c>
      <c r="C15" s="4" t="s">
        <v>135</v>
      </c>
      <c r="D15" s="4" t="s">
        <v>136</v>
      </c>
      <c r="E15" s="4" t="s">
        <v>80</v>
      </c>
      <c r="F15" s="4" t="s">
        <v>57</v>
      </c>
      <c r="G15" s="4" t="s">
        <v>50</v>
      </c>
      <c r="H15" s="4" t="s">
        <v>137</v>
      </c>
      <c r="I15" s="4" t="s">
        <v>50</v>
      </c>
      <c r="J15" s="4" t="s">
        <v>51</v>
      </c>
      <c r="K15" s="4" t="s">
        <v>51</v>
      </c>
      <c r="L15" s="4" t="s">
        <v>50</v>
      </c>
      <c r="M15" s="4" t="s">
        <v>50</v>
      </c>
      <c r="N15" s="5">
        <v>4</v>
      </c>
      <c r="O15" s="4" t="s">
        <v>138</v>
      </c>
      <c r="P15" s="4" t="s">
        <v>50</v>
      </c>
      <c r="Q15" s="6" t="s">
        <v>53</v>
      </c>
      <c r="R15" s="4" t="s">
        <v>139</v>
      </c>
    </row>
    <row r="16" spans="1:18">
      <c r="A16" s="4" t="s">
        <v>140</v>
      </c>
      <c r="B16" s="4" t="s">
        <v>141</v>
      </c>
      <c r="C16" s="4" t="s">
        <v>142</v>
      </c>
      <c r="D16" s="4" t="s">
        <v>143</v>
      </c>
      <c r="E16" s="4" t="s">
        <v>80</v>
      </c>
      <c r="F16" s="4" t="s">
        <v>144</v>
      </c>
      <c r="G16" s="4" t="s">
        <v>145</v>
      </c>
      <c r="H16" s="4" t="s">
        <v>146</v>
      </c>
      <c r="I16" s="4" t="s">
        <v>50</v>
      </c>
      <c r="J16" s="4" t="s">
        <v>51</v>
      </c>
      <c r="K16" s="4" t="s">
        <v>147</v>
      </c>
      <c r="L16" s="4" t="s">
        <v>50</v>
      </c>
      <c r="M16" s="4" t="s">
        <v>50</v>
      </c>
      <c r="N16" s="5">
        <v>5</v>
      </c>
      <c r="O16" s="4" t="s">
        <v>148</v>
      </c>
      <c r="P16" s="4" t="s">
        <v>50</v>
      </c>
      <c r="Q16" s="6" t="s">
        <v>53</v>
      </c>
      <c r="R16" s="4" t="s">
        <v>149</v>
      </c>
    </row>
    <row r="17" spans="14:17">
      <c r="N17" s="7"/>
      <c r="Q17" s="8"/>
    </row>
    <row r="18" spans="14:17">
      <c r="N18" s="7"/>
      <c r="Q18" s="8"/>
    </row>
    <row r="19" spans="14:17">
      <c r="N19" s="7"/>
      <c r="Q19" s="8"/>
    </row>
    <row r="20" spans="14:17">
      <c r="N20" s="7"/>
      <c r="Q20" s="8"/>
    </row>
    <row r="21" spans="14:17">
      <c r="N21" s="7"/>
      <c r="Q21" s="8"/>
    </row>
    <row r="22" spans="14:17">
      <c r="N22" s="7"/>
      <c r="Q22" s="8"/>
    </row>
    <row r="23" spans="14:17">
      <c r="N23" s="7"/>
      <c r="Q23" s="8"/>
    </row>
    <row r="24" spans="14:17">
      <c r="N24" s="7"/>
      <c r="Q24" s="8"/>
    </row>
    <row r="25" spans="14:17">
      <c r="N25" s="7"/>
      <c r="Q25" s="8"/>
    </row>
    <row r="26" spans="14:17">
      <c r="N26" s="7"/>
      <c r="Q26" s="8"/>
    </row>
    <row r="27" spans="14:17">
      <c r="N27" s="7"/>
      <c r="Q27" s="8"/>
    </row>
    <row r="28" spans="14:17">
      <c r="N28" s="7"/>
      <c r="Q28" s="8"/>
    </row>
    <row r="29" spans="14:17">
      <c r="N29" s="7"/>
      <c r="Q29" s="8"/>
    </row>
    <row r="30" spans="14:17">
      <c r="N30" s="7"/>
      <c r="Q30" s="8"/>
    </row>
    <row r="31" spans="14:17">
      <c r="N31" s="7"/>
      <c r="Q31" s="8"/>
    </row>
    <row r="32" spans="14:17">
      <c r="N32" s="7"/>
      <c r="Q32" s="8"/>
    </row>
    <row r="33" spans="14:17">
      <c r="N33" s="7"/>
      <c r="Q33" s="8"/>
    </row>
    <row r="34" spans="14:17">
      <c r="N34" s="7"/>
      <c r="Q34" s="8"/>
    </row>
    <row r="35" spans="14:17">
      <c r="N35" s="7"/>
      <c r="Q35" s="8"/>
    </row>
    <row r="36" spans="14:17">
      <c r="N36" s="7"/>
      <c r="Q36" s="8"/>
    </row>
    <row r="37" spans="14:17">
      <c r="N37" s="7"/>
      <c r="Q37" s="8"/>
    </row>
    <row r="38" spans="14:17">
      <c r="N38" s="7"/>
      <c r="Q38" s="8"/>
    </row>
    <row r="39" spans="14:17">
      <c r="N39" s="7"/>
      <c r="Q39" s="8"/>
    </row>
    <row r="40" spans="14:17">
      <c r="N40" s="7"/>
      <c r="Q40" s="8"/>
    </row>
    <row r="41" spans="14:17">
      <c r="N41" s="7"/>
      <c r="Q41" s="8"/>
    </row>
    <row r="42" spans="14:17">
      <c r="N42" s="7"/>
      <c r="Q42" s="8"/>
    </row>
    <row r="43" spans="14:17">
      <c r="N43" s="7"/>
      <c r="Q43" s="8"/>
    </row>
    <row r="44" spans="14:17">
      <c r="N44" s="7"/>
      <c r="Q44" s="8"/>
    </row>
    <row r="45" spans="14:17">
      <c r="N45" s="7"/>
      <c r="Q45" s="8"/>
    </row>
    <row r="46" spans="14:17">
      <c r="N46" s="7"/>
      <c r="Q46" s="8"/>
    </row>
    <row r="47" spans="14:17">
      <c r="N47" s="7"/>
      <c r="Q47" s="8"/>
    </row>
    <row r="48" spans="14:17">
      <c r="N48" s="7"/>
      <c r="Q48" s="8"/>
    </row>
    <row r="49" spans="14:17">
      <c r="N49" s="7"/>
      <c r="Q49" s="8"/>
    </row>
    <row r="50" spans="14:17">
      <c r="N50" s="7"/>
      <c r="Q50" s="8"/>
    </row>
    <row r="51" spans="14:17">
      <c r="N51" s="7"/>
      <c r="Q51" s="8"/>
    </row>
    <row r="52" spans="14:17">
      <c r="N52" s="7"/>
      <c r="Q52" s="8"/>
    </row>
    <row r="53" spans="14:17">
      <c r="N53" s="7"/>
      <c r="Q53" s="8"/>
    </row>
    <row r="54" spans="14:17">
      <c r="N54" s="7"/>
      <c r="Q54" s="8"/>
    </row>
    <row r="55" spans="14:17">
      <c r="N55" s="7"/>
      <c r="Q55" s="8"/>
    </row>
    <row r="56" spans="14:17">
      <c r="N56" s="7"/>
      <c r="Q56" s="8"/>
    </row>
    <row r="57" spans="14:17">
      <c r="N57" s="7"/>
      <c r="Q57" s="8"/>
    </row>
    <row r="58" spans="14:17">
      <c r="N58" s="7"/>
      <c r="Q58" s="8"/>
    </row>
    <row r="59" spans="14:17">
      <c r="N59" s="7"/>
      <c r="Q59" s="8"/>
    </row>
    <row r="60" spans="14:17">
      <c r="N60" s="7"/>
      <c r="Q60" s="8"/>
    </row>
    <row r="61" spans="14:17">
      <c r="N61" s="7"/>
      <c r="Q61" s="8"/>
    </row>
    <row r="62" spans="14:17">
      <c r="N62" s="7"/>
      <c r="Q62" s="8"/>
    </row>
    <row r="63" spans="14:17">
      <c r="N63" s="7"/>
      <c r="Q63" s="8"/>
    </row>
    <row r="64" spans="14:17">
      <c r="N64" s="7"/>
      <c r="Q64" s="8"/>
    </row>
    <row r="65" spans="14:17">
      <c r="N65" s="7"/>
      <c r="Q65" s="8"/>
    </row>
    <row r="66" spans="14:17">
      <c r="N66" s="7"/>
      <c r="Q66" s="8"/>
    </row>
    <row r="67" spans="14:17">
      <c r="N67" s="7"/>
      <c r="Q67" s="8"/>
    </row>
    <row r="68" spans="14:17">
      <c r="N68" s="7"/>
      <c r="Q68" s="8"/>
    </row>
    <row r="69" spans="14:17">
      <c r="N69" s="7"/>
      <c r="Q69" s="8"/>
    </row>
    <row r="70" spans="14:17">
      <c r="N70" s="7"/>
      <c r="Q70" s="8"/>
    </row>
    <row r="71" spans="14:17">
      <c r="N71" s="7"/>
      <c r="Q71" s="8"/>
    </row>
    <row r="72" spans="14:17">
      <c r="N72" s="7"/>
      <c r="Q72" s="8"/>
    </row>
    <row r="73" spans="14:17">
      <c r="N73" s="7"/>
      <c r="Q73" s="8"/>
    </row>
    <row r="74" spans="14:17">
      <c r="N74" s="7"/>
      <c r="Q74" s="8"/>
    </row>
    <row r="75" spans="14:17">
      <c r="N75" s="7"/>
      <c r="Q75" s="8"/>
    </row>
    <row r="76" spans="14:17">
      <c r="N76" s="7"/>
      <c r="Q76" s="8"/>
    </row>
    <row r="77" spans="14:17">
      <c r="N77" s="7"/>
      <c r="Q77" s="8"/>
    </row>
    <row r="78" spans="14:17">
      <c r="N78" s="7"/>
      <c r="Q78" s="8"/>
    </row>
    <row r="79" spans="14:17">
      <c r="N79" s="7"/>
      <c r="Q79" s="8"/>
    </row>
    <row r="80" spans="14:17">
      <c r="N80" s="7"/>
      <c r="Q80" s="8"/>
    </row>
    <row r="81" spans="14:17">
      <c r="N81" s="7"/>
      <c r="Q81" s="8"/>
    </row>
    <row r="82" spans="14:17">
      <c r="N82" s="7"/>
      <c r="Q82" s="8"/>
    </row>
    <row r="83" spans="14:17">
      <c r="N83" s="7"/>
      <c r="Q83" s="8"/>
    </row>
    <row r="84" spans="14:17">
      <c r="N84" s="7"/>
      <c r="Q84" s="8"/>
    </row>
    <row r="85" spans="14:17">
      <c r="N85" s="7"/>
      <c r="Q85" s="8"/>
    </row>
    <row r="86" spans="14:17">
      <c r="N86" s="7"/>
      <c r="Q86" s="8"/>
    </row>
    <row r="87" spans="14:17">
      <c r="N87" s="7"/>
      <c r="Q87" s="8"/>
    </row>
    <row r="88" spans="14:17">
      <c r="N88" s="7"/>
      <c r="Q88" s="8"/>
    </row>
    <row r="89" spans="14:17">
      <c r="N89" s="7"/>
      <c r="Q89" s="8"/>
    </row>
    <row r="90" spans="14:17">
      <c r="N90" s="7"/>
      <c r="Q90" s="8"/>
    </row>
    <row r="91" spans="14:17">
      <c r="N91" s="7"/>
      <c r="Q91" s="8"/>
    </row>
    <row r="92" spans="14:17">
      <c r="N92" s="7"/>
      <c r="Q92" s="8"/>
    </row>
    <row r="93" spans="14:17">
      <c r="N93" s="7"/>
      <c r="Q93" s="8"/>
    </row>
    <row r="94" spans="14:17">
      <c r="N94" s="7"/>
      <c r="Q94" s="8"/>
    </row>
    <row r="95" spans="14:17">
      <c r="N95" s="7"/>
      <c r="Q95" s="8"/>
    </row>
    <row r="96" spans="14:17">
      <c r="N96" s="7"/>
      <c r="Q96" s="8"/>
    </row>
    <row r="97" spans="14:17">
      <c r="N97" s="7"/>
      <c r="Q97" s="8"/>
    </row>
    <row r="98" spans="14:17">
      <c r="N98" s="7"/>
      <c r="Q98" s="8"/>
    </row>
    <row r="99" spans="14:17">
      <c r="N99" s="7"/>
      <c r="Q99" s="8"/>
    </row>
    <row r="100" spans="14:17">
      <c r="N100" s="7"/>
      <c r="Q100" s="8"/>
    </row>
    <row r="101" spans="14:17">
      <c r="N101" s="7"/>
      <c r="Q101" s="8"/>
    </row>
    <row r="102" spans="14:17">
      <c r="N102" s="7"/>
      <c r="Q102" s="8"/>
    </row>
    <row r="103" spans="14:17">
      <c r="N103" s="7"/>
      <c r="Q103" s="8"/>
    </row>
    <row r="104" spans="14:17">
      <c r="N104" s="7"/>
      <c r="Q104" s="8"/>
    </row>
    <row r="105" spans="14:17">
      <c r="N105" s="7"/>
      <c r="Q105" s="8"/>
    </row>
    <row r="106" spans="14:17">
      <c r="N106" s="7"/>
      <c r="Q106" s="8"/>
    </row>
    <row r="107" spans="14:17">
      <c r="N107" s="7"/>
      <c r="Q107" s="8"/>
    </row>
    <row r="108" spans="14:17">
      <c r="N108" s="7"/>
      <c r="Q108" s="8"/>
    </row>
    <row r="109" spans="14:17">
      <c r="N109" s="7"/>
      <c r="Q109" s="8"/>
    </row>
    <row r="110" spans="14:17">
      <c r="N110" s="7"/>
      <c r="Q110" s="8"/>
    </row>
    <row r="111" spans="14:17">
      <c r="N111" s="7"/>
      <c r="Q111" s="8"/>
    </row>
    <row r="112" spans="14:17">
      <c r="N112" s="7"/>
      <c r="Q112" s="8"/>
    </row>
    <row r="113" spans="14:17">
      <c r="N113" s="7"/>
      <c r="Q113" s="8"/>
    </row>
    <row r="114" spans="14:17">
      <c r="N114" s="7"/>
      <c r="Q114" s="8"/>
    </row>
    <row r="115" spans="14:17">
      <c r="N115" s="7"/>
      <c r="Q115" s="8"/>
    </row>
    <row r="116" spans="14:17">
      <c r="N116" s="7"/>
      <c r="Q116" s="8"/>
    </row>
    <row r="117" spans="14:17">
      <c r="N117" s="7"/>
      <c r="Q117" s="8"/>
    </row>
    <row r="118" spans="14:17">
      <c r="N118" s="7"/>
      <c r="Q118" s="8"/>
    </row>
    <row r="119" spans="14:17">
      <c r="N119" s="7"/>
      <c r="Q119" s="8"/>
    </row>
    <row r="120" spans="14:17">
      <c r="N120" s="7"/>
      <c r="Q120" s="8"/>
    </row>
    <row r="121" spans="14:17">
      <c r="N121" s="7"/>
      <c r="Q121" s="8"/>
    </row>
    <row r="122" spans="14:17">
      <c r="N122" s="7"/>
      <c r="Q122" s="8"/>
    </row>
    <row r="123" spans="14:17">
      <c r="N123" s="7"/>
      <c r="Q123" s="8"/>
    </row>
    <row r="124" spans="14:17">
      <c r="N124" s="7"/>
      <c r="Q124" s="8"/>
    </row>
    <row r="125" spans="14:17">
      <c r="N125" s="7"/>
      <c r="Q125" s="8"/>
    </row>
    <row r="126" spans="14:17">
      <c r="N126" s="7"/>
      <c r="Q126" s="8"/>
    </row>
    <row r="127" spans="14:17">
      <c r="N127" s="7"/>
      <c r="Q127" s="8"/>
    </row>
    <row r="128" spans="14:17">
      <c r="N128" s="7"/>
      <c r="Q128" s="8"/>
    </row>
    <row r="129" spans="14:17">
      <c r="N129" s="7"/>
      <c r="Q129" s="8"/>
    </row>
    <row r="130" spans="14:17">
      <c r="N130" s="7"/>
      <c r="Q130" s="8"/>
    </row>
    <row r="131" spans="14:17">
      <c r="N131" s="7"/>
      <c r="Q131" s="8"/>
    </row>
    <row r="132" spans="14:17">
      <c r="N132" s="7"/>
      <c r="Q132" s="8"/>
    </row>
    <row r="133" spans="14:17">
      <c r="N133" s="7"/>
      <c r="Q133" s="8"/>
    </row>
    <row r="134" spans="14:17">
      <c r="N134" s="7"/>
      <c r="Q134" s="8"/>
    </row>
    <row r="135" spans="14:17">
      <c r="N135" s="7"/>
      <c r="Q135" s="8"/>
    </row>
    <row r="136" spans="14:17">
      <c r="N136" s="7"/>
      <c r="Q136" s="8"/>
    </row>
    <row r="137" spans="14:17">
      <c r="N137" s="7"/>
      <c r="Q137" s="8"/>
    </row>
    <row r="138" spans="14:17">
      <c r="N138" s="7"/>
      <c r="Q138" s="8"/>
    </row>
    <row r="139" spans="14:17">
      <c r="N139" s="7"/>
      <c r="Q139" s="8"/>
    </row>
    <row r="140" spans="14:17">
      <c r="N140" s="7"/>
      <c r="Q140" s="8"/>
    </row>
    <row r="141" spans="14:17">
      <c r="N141" s="7"/>
      <c r="Q141" s="8"/>
    </row>
    <row r="142" spans="14:17">
      <c r="N142" s="7"/>
      <c r="Q142" s="8"/>
    </row>
    <row r="143" spans="14:17">
      <c r="N143" s="7"/>
      <c r="Q143" s="8"/>
    </row>
    <row r="144" spans="14:17">
      <c r="N144" s="7"/>
      <c r="Q144" s="8"/>
    </row>
    <row r="145" spans="14:17">
      <c r="N145" s="7"/>
      <c r="Q145" s="8"/>
    </row>
    <row r="146" spans="14:17">
      <c r="N146" s="7"/>
      <c r="Q146" s="8"/>
    </row>
    <row r="147" spans="14:17">
      <c r="N147" s="7"/>
      <c r="Q147" s="8"/>
    </row>
    <row r="148" spans="14:17">
      <c r="N148" s="7"/>
      <c r="Q148" s="8"/>
    </row>
    <row r="149" spans="14:17">
      <c r="N149" s="7"/>
      <c r="Q149" s="8"/>
    </row>
    <row r="150" spans="14:17">
      <c r="N150" s="7"/>
      <c r="Q150" s="8"/>
    </row>
    <row r="151" spans="14:17">
      <c r="N151" s="7"/>
      <c r="Q151" s="8"/>
    </row>
    <row r="152" spans="14:17">
      <c r="N152" s="7"/>
      <c r="Q152" s="8"/>
    </row>
    <row r="153" spans="14:17">
      <c r="N153" s="7"/>
      <c r="Q153" s="8"/>
    </row>
    <row r="154" spans="14:17">
      <c r="N154" s="7"/>
      <c r="Q154" s="8"/>
    </row>
    <row r="155" spans="14:17">
      <c r="N155" s="7"/>
      <c r="Q155" s="8"/>
    </row>
    <row r="156" spans="14:17">
      <c r="N156" s="7"/>
      <c r="Q156" s="8"/>
    </row>
    <row r="157" spans="14:17">
      <c r="N157" s="7"/>
      <c r="Q157" s="8"/>
    </row>
    <row r="158" spans="14:17">
      <c r="N158" s="7"/>
      <c r="Q158" s="8"/>
    </row>
    <row r="159" spans="14:17">
      <c r="N159" s="7"/>
      <c r="Q159" s="8"/>
    </row>
    <row r="160" spans="14:17">
      <c r="N160" s="7"/>
      <c r="Q160" s="8"/>
    </row>
    <row r="161" spans="14:17">
      <c r="N161" s="7"/>
      <c r="Q161" s="8"/>
    </row>
    <row r="162" spans="14:17">
      <c r="N162" s="7"/>
      <c r="Q162" s="8"/>
    </row>
    <row r="163" spans="14:17">
      <c r="N163" s="7"/>
      <c r="Q163" s="8"/>
    </row>
    <row r="164" spans="14:17">
      <c r="N164" s="7"/>
      <c r="Q164" s="8"/>
    </row>
    <row r="165" spans="14:17">
      <c r="N165" s="7"/>
      <c r="Q165" s="8"/>
    </row>
    <row r="166" spans="14:17">
      <c r="N166" s="7"/>
      <c r="Q166" s="8"/>
    </row>
    <row r="167" spans="14:17">
      <c r="N167" s="7"/>
      <c r="Q167" s="8"/>
    </row>
    <row r="168" spans="14:17">
      <c r="N168" s="7"/>
      <c r="Q168" s="8"/>
    </row>
    <row r="169" spans="14:17">
      <c r="N169" s="7"/>
      <c r="Q169" s="8"/>
    </row>
    <row r="170" spans="14:17">
      <c r="N170" s="7"/>
      <c r="Q170" s="8"/>
    </row>
    <row r="171" spans="14:17">
      <c r="N171" s="7"/>
      <c r="Q171" s="8"/>
    </row>
    <row r="172" spans="14:17">
      <c r="N172" s="7"/>
      <c r="Q172" s="8"/>
    </row>
    <row r="173" spans="14:17">
      <c r="N173" s="7"/>
      <c r="Q173" s="8"/>
    </row>
    <row r="174" spans="14:17">
      <c r="N174" s="7"/>
      <c r="Q174" s="8"/>
    </row>
    <row r="175" spans="14:17">
      <c r="N175" s="7"/>
      <c r="Q175" s="8"/>
    </row>
    <row r="176" spans="14:17">
      <c r="N176" s="7"/>
      <c r="Q176" s="8"/>
    </row>
    <row r="177" spans="14:17">
      <c r="N177" s="7"/>
      <c r="Q177" s="8"/>
    </row>
    <row r="178" spans="14:17">
      <c r="N178" s="7"/>
      <c r="Q178" s="8"/>
    </row>
    <row r="179" spans="14:17">
      <c r="N179" s="7"/>
      <c r="Q179" s="8"/>
    </row>
    <row r="180" spans="14:17">
      <c r="N180" s="7"/>
      <c r="Q180" s="8"/>
    </row>
    <row r="181" spans="14:17">
      <c r="N181" s="7"/>
      <c r="Q181" s="8"/>
    </row>
    <row r="182" spans="14:17">
      <c r="N182" s="7"/>
      <c r="Q182" s="8"/>
    </row>
    <row r="183" spans="14:17">
      <c r="N183" s="7"/>
      <c r="Q183" s="8"/>
    </row>
    <row r="184" spans="14:17">
      <c r="N184" s="7"/>
      <c r="Q184" s="8"/>
    </row>
    <row r="185" spans="14:17">
      <c r="N185" s="7"/>
      <c r="Q185" s="8"/>
    </row>
    <row r="186" spans="14:17">
      <c r="N186" s="7"/>
      <c r="Q186" s="8"/>
    </row>
    <row r="187" spans="14:17">
      <c r="N187" s="7"/>
      <c r="Q187" s="8"/>
    </row>
    <row r="188" spans="14:17">
      <c r="N188" s="7"/>
      <c r="Q188" s="8"/>
    </row>
    <row r="189" spans="14:17">
      <c r="N189" s="7"/>
      <c r="Q189" s="8"/>
    </row>
    <row r="190" spans="14:17">
      <c r="N190" s="7"/>
      <c r="Q190" s="8"/>
    </row>
    <row r="191" spans="14:17">
      <c r="N191" s="7"/>
      <c r="Q191" s="8"/>
    </row>
    <row r="192" spans="14:17">
      <c r="N192" s="7"/>
      <c r="Q192" s="8"/>
    </row>
    <row r="193" spans="14:17">
      <c r="N193" s="7"/>
      <c r="Q193" s="8"/>
    </row>
    <row r="194" spans="14:17">
      <c r="N194" s="7"/>
      <c r="Q194" s="8"/>
    </row>
    <row r="195" spans="14:17">
      <c r="N195" s="7"/>
      <c r="Q195" s="8"/>
    </row>
    <row r="196" spans="14:17">
      <c r="N196" s="7"/>
      <c r="Q196" s="8"/>
    </row>
    <row r="197" spans="14:17">
      <c r="N197" s="7"/>
      <c r="Q197" s="8"/>
    </row>
    <row r="198" spans="14:17">
      <c r="N198" s="7"/>
      <c r="Q198" s="8"/>
    </row>
    <row r="199" spans="14:17">
      <c r="N199" s="7"/>
      <c r="Q199" s="8"/>
    </row>
    <row r="200" spans="14:17">
      <c r="N200" s="7"/>
      <c r="Q200" s="8"/>
    </row>
  </sheetData>
  <conditionalFormatting sqref="E2:E200">
    <cfRule type="expression" dxfId="0" priority="1">
      <formula>E2="Approved"</formula>
    </cfRule>
    <cfRule type="expression" dxfId="1" priority="2">
      <formula>E2="Live"</formula>
    </cfRule>
    <cfRule type="expression" dxfId="2" priority="3">
      <formula>E2="Declined"</formula>
    </cfRule>
    <cfRule type="expression" dxfId="3" priority="4">
      <formula>E2="Applied"</formula>
    </cfRule>
    <cfRule type="expression" dxfId="4" priority="5">
      <formula>E2="Pending"</formula>
    </cfRule>
  </conditionalFormatting>
  <dataValidations count="5">
    <dataValidation type="list" sqref="B2:B200">
      <formula1>Lists!$A$2:$A$5</formula1>
    </dataValidation>
    <dataValidation type="list" sqref="E2:E200">
      <formula1>Lists!$B$2:$B$9</formula1>
    </dataValidation>
    <dataValidation type="list" sqref="F2:F200">
      <formula1>Lists!$C$2:$C$8</formula1>
    </dataValidation>
    <dataValidation type="list" sqref="G2:G200">
      <formula1>Lists!$D$2:$D$9</formula1>
    </dataValidation>
    <dataValidation type="list" sqref="J2:K200">
      <formula1>Lists!$E$2:$E$5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4" outlineLevelRow="6" outlineLevelCol="5"/>
  <cols>
    <col min="1" max="1" width="10" customWidth="1"/>
    <col min="2" max="2" width="34" customWidth="1"/>
    <col min="3" max="5" width="14" customWidth="1"/>
    <col min="6" max="6" width="50" customWidth="1"/>
  </cols>
  <sheetData>
    <row r="1" spans="1:6">
      <c r="A1" s="1" t="s">
        <v>26</v>
      </c>
      <c r="B1" s="1" t="s">
        <v>150</v>
      </c>
      <c r="C1" s="1" t="s">
        <v>151</v>
      </c>
      <c r="D1" s="1" t="s">
        <v>152</v>
      </c>
      <c r="E1" s="1" t="s">
        <v>29</v>
      </c>
      <c r="F1" s="1" t="s">
        <v>42</v>
      </c>
    </row>
    <row r="2" ht="28" spans="1:6">
      <c r="A2" s="2" t="s">
        <v>153</v>
      </c>
      <c r="B2" s="2" t="s">
        <v>154</v>
      </c>
      <c r="C2" s="2" t="s">
        <v>155</v>
      </c>
      <c r="D2" s="2" t="s">
        <v>156</v>
      </c>
      <c r="E2" s="2" t="s">
        <v>80</v>
      </c>
      <c r="F2" s="2" t="s">
        <v>157</v>
      </c>
    </row>
    <row r="3" ht="28" spans="1:6">
      <c r="A3" s="2" t="s">
        <v>158</v>
      </c>
      <c r="B3" s="2" t="s">
        <v>159</v>
      </c>
      <c r="C3" s="2" t="s">
        <v>155</v>
      </c>
      <c r="D3" s="2" t="s">
        <v>156</v>
      </c>
      <c r="E3" s="2" t="s">
        <v>80</v>
      </c>
      <c r="F3" s="2" t="s">
        <v>160</v>
      </c>
    </row>
    <row r="4" ht="28" spans="1:6">
      <c r="A4" s="2" t="s">
        <v>161</v>
      </c>
      <c r="B4" s="2" t="s">
        <v>162</v>
      </c>
      <c r="C4" s="2" t="s">
        <v>155</v>
      </c>
      <c r="D4" s="2" t="s">
        <v>156</v>
      </c>
      <c r="E4" s="2" t="s">
        <v>80</v>
      </c>
      <c r="F4" s="2" t="s">
        <v>163</v>
      </c>
    </row>
    <row r="5" spans="1:6">
      <c r="A5" s="2" t="s">
        <v>164</v>
      </c>
      <c r="B5" s="2" t="s">
        <v>165</v>
      </c>
      <c r="C5" s="2" t="s">
        <v>155</v>
      </c>
      <c r="D5" s="2" t="s">
        <v>156</v>
      </c>
      <c r="E5" s="2" t="s">
        <v>80</v>
      </c>
      <c r="F5" s="2" t="s">
        <v>166</v>
      </c>
    </row>
    <row r="6" ht="28" spans="1:6">
      <c r="A6" s="2" t="s">
        <v>167</v>
      </c>
      <c r="B6" s="2" t="s">
        <v>168</v>
      </c>
      <c r="C6" s="2" t="s">
        <v>155</v>
      </c>
      <c r="D6" s="2" t="s">
        <v>156</v>
      </c>
      <c r="E6" s="2" t="s">
        <v>80</v>
      </c>
      <c r="F6" s="2" t="s">
        <v>169</v>
      </c>
    </row>
    <row r="7" ht="28" spans="1:6">
      <c r="A7" s="2" t="s">
        <v>170</v>
      </c>
      <c r="B7" s="2" t="s">
        <v>171</v>
      </c>
      <c r="C7" s="2" t="s">
        <v>172</v>
      </c>
      <c r="D7" s="2" t="s">
        <v>156</v>
      </c>
      <c r="E7" s="2" t="s">
        <v>80</v>
      </c>
      <c r="F7" s="2" t="s">
        <v>173</v>
      </c>
    </row>
  </sheetData>
  <dataValidations count="1">
    <dataValidation type="list" sqref="E2:E100">
      <formula1>Lists!$B$2:$B$9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4" outlineLevelCol="4"/>
  <cols>
    <col min="1" max="5" width="20" customWidth="1"/>
  </cols>
  <sheetData>
    <row r="1" spans="1:5">
      <c r="A1" s="1" t="s">
        <v>26</v>
      </c>
      <c r="B1" s="1" t="s">
        <v>29</v>
      </c>
      <c r="C1" s="1" t="s">
        <v>30</v>
      </c>
      <c r="D1" s="1" t="s">
        <v>31</v>
      </c>
      <c r="E1" s="1" t="s">
        <v>174</v>
      </c>
    </row>
    <row r="2" spans="1:5">
      <c r="A2" t="s">
        <v>43</v>
      </c>
      <c r="B2" t="s">
        <v>80</v>
      </c>
      <c r="C2" t="s">
        <v>145</v>
      </c>
      <c r="D2" t="s">
        <v>145</v>
      </c>
      <c r="E2" t="s">
        <v>147</v>
      </c>
    </row>
    <row r="3" spans="1:5">
      <c r="A3" t="s">
        <v>77</v>
      </c>
      <c r="B3" t="s">
        <v>46</v>
      </c>
      <c r="C3" t="s">
        <v>175</v>
      </c>
      <c r="D3" t="s">
        <v>176</v>
      </c>
      <c r="E3" t="s">
        <v>177</v>
      </c>
    </row>
    <row r="4" spans="1:5">
      <c r="A4" t="s">
        <v>109</v>
      </c>
      <c r="B4" t="s">
        <v>178</v>
      </c>
      <c r="C4" t="s">
        <v>179</v>
      </c>
      <c r="D4" t="s">
        <v>180</v>
      </c>
      <c r="E4" t="s">
        <v>181</v>
      </c>
    </row>
    <row r="5" spans="1:5">
      <c r="A5" t="s">
        <v>141</v>
      </c>
      <c r="B5" t="s">
        <v>182</v>
      </c>
      <c r="C5" t="s">
        <v>183</v>
      </c>
      <c r="D5" t="s">
        <v>184</v>
      </c>
      <c r="E5" t="s">
        <v>51</v>
      </c>
    </row>
    <row r="6" spans="1:5">
      <c r="A6" t="s">
        <v>156</v>
      </c>
      <c r="B6" t="s">
        <v>185</v>
      </c>
      <c r="C6" t="s">
        <v>186</v>
      </c>
      <c r="D6" t="s">
        <v>187</v>
      </c>
      <c r="E6" t="s">
        <v>156</v>
      </c>
    </row>
    <row r="7" spans="1:5">
      <c r="A7" t="s">
        <v>156</v>
      </c>
      <c r="B7" t="s">
        <v>188</v>
      </c>
      <c r="C7" t="s">
        <v>189</v>
      </c>
      <c r="D7" t="s">
        <v>190</v>
      </c>
      <c r="E7" t="s">
        <v>156</v>
      </c>
    </row>
    <row r="8" spans="1:5">
      <c r="A8" t="s">
        <v>156</v>
      </c>
      <c r="B8" t="s">
        <v>191</v>
      </c>
      <c r="C8" t="s">
        <v>50</v>
      </c>
      <c r="D8" t="s">
        <v>192</v>
      </c>
      <c r="E8" t="s">
        <v>156</v>
      </c>
    </row>
    <row r="9" spans="1:5">
      <c r="A9" t="s">
        <v>156</v>
      </c>
      <c r="B9" t="s">
        <v>193</v>
      </c>
      <c r="C9" t="s">
        <v>156</v>
      </c>
      <c r="D9" t="s">
        <v>194</v>
      </c>
      <c r="E9" t="s">
        <v>156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Retailer Matrix</vt:lpstr>
      <vt:lpstr>Next Actions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Harrison</cp:lastModifiedBy>
  <dcterms:created xsi:type="dcterms:W3CDTF">2026-06-29T17:11:10Z</dcterms:created>
  <dcterms:modified xsi:type="dcterms:W3CDTF">2026-06-29T17:11:44Z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3304D12E06F6451CBF773254EE402530_13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